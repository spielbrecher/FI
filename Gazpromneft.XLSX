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J:\Video\Газпромнефть\Отчеты\"/>
    </mc:Choice>
  </mc:AlternateContent>
  <xr:revisionPtr revIDLastSave="0" documentId="13_ncr:1_{CD09F6B3-7028-47E5-9F54-12330562BBE8}" xr6:coauthVersionLast="47" xr6:coauthVersionMax="47" xr10:uidLastSave="{00000000-0000-0000-0000-000000000000}"/>
  <bookViews>
    <workbookView xWindow="13155" yWindow="0" windowWidth="15645" windowHeight="156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K2" i="1"/>
  <c r="J2" i="1"/>
  <c r="I2" i="1"/>
  <c r="L3" i="1"/>
  <c r="K3" i="1"/>
  <c r="J3" i="1"/>
  <c r="I3" i="1"/>
  <c r="C2" i="1"/>
  <c r="C3" i="1"/>
  <c r="B2" i="1"/>
  <c r="B3" i="1"/>
  <c r="G2" i="1"/>
  <c r="F2" i="1"/>
  <c r="E2" i="1"/>
  <c r="D2" i="1"/>
  <c r="G3" i="1"/>
  <c r="G4" i="1"/>
  <c r="F3" i="1"/>
  <c r="F4" i="1"/>
  <c r="E3" i="1"/>
  <c r="E4" i="1"/>
  <c r="D3" i="1"/>
  <c r="D4" i="1"/>
  <c r="L4" i="1"/>
  <c r="L5" i="1"/>
  <c r="L6" i="1"/>
  <c r="K4" i="1"/>
  <c r="K5" i="1"/>
  <c r="K6" i="1"/>
  <c r="J4" i="1"/>
  <c r="J5" i="1"/>
  <c r="J6" i="1"/>
  <c r="I4" i="1"/>
  <c r="I5" i="1"/>
  <c r="I6" i="1"/>
  <c r="G5" i="1"/>
  <c r="F5" i="1"/>
  <c r="E5" i="1"/>
  <c r="D5" i="1"/>
  <c r="C4" i="1"/>
  <c r="C5" i="1"/>
  <c r="C6" i="1"/>
  <c r="B4" i="1"/>
  <c r="B5" i="1"/>
  <c r="B6" i="1"/>
</calcChain>
</file>

<file path=xl/sharedStrings.xml><?xml version="1.0" encoding="utf-8"?>
<sst xmlns="http://schemas.openxmlformats.org/spreadsheetml/2006/main" count="14" uniqueCount="14">
  <si>
    <t>Year</t>
  </si>
  <si>
    <t>Revenue</t>
  </si>
  <si>
    <t>Earnings</t>
  </si>
  <si>
    <t>Assets</t>
  </si>
  <si>
    <t>Debt short</t>
  </si>
  <si>
    <t>Debt long</t>
  </si>
  <si>
    <t>BV</t>
  </si>
  <si>
    <t>Shares</t>
  </si>
  <si>
    <t>CFOA</t>
  </si>
  <si>
    <t>CFIA</t>
  </si>
  <si>
    <t>CFFA</t>
  </si>
  <si>
    <t>Cash</t>
  </si>
  <si>
    <t>Price</t>
  </si>
  <si>
    <t>Dividend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</si>
</sst>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M17" sqref="M17"/>
    </sheetView>
  </sheetViews>
  <sheetFormatPr defaultRowHeight="15" x14ac:dyDescent="0.25"/>
  <cols>
    <col min="1" max="1" width="7.140625" customWidth="1"/>
    <col min="2" max="3" width="10.85546875" customWidth="1"/>
    <col min="4" max="4" width="10.5703125" customWidth="1"/>
    <col min="5" max="5" width="11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12</v>
      </c>
    </row>
    <row r="2" spans="1:14" x14ac:dyDescent="0.25">
      <c r="A2">
        <v>2006</v>
      </c>
      <c r="B2">
        <f>19.9*27.19</f>
        <v>541.08100000000002</v>
      </c>
      <c r="C2">
        <f>3.7*27.19</f>
        <v>100.60300000000001</v>
      </c>
      <c r="D2">
        <f>14*27.19</f>
        <v>380.66</v>
      </c>
      <c r="E2">
        <f>2.7*27.19</f>
        <v>73.413000000000011</v>
      </c>
      <c r="F2">
        <f>1.5*27.19</f>
        <v>40.785000000000004</v>
      </c>
      <c r="G2">
        <f>9.9*27.19</f>
        <v>269.18100000000004</v>
      </c>
      <c r="H2">
        <v>4.7409999999999997</v>
      </c>
      <c r="I2">
        <f>3.3*27.19</f>
        <v>89.727000000000004</v>
      </c>
      <c r="J2">
        <f>-0.186*27.19</f>
        <v>-5.0573399999999999</v>
      </c>
      <c r="K2">
        <f>-0.4*27.19</f>
        <v>-10.876000000000001</v>
      </c>
      <c r="L2">
        <f>1.3*27.19</f>
        <v>35.347000000000001</v>
      </c>
      <c r="M2">
        <v>7.9</v>
      </c>
      <c r="N2">
        <v>118.9875</v>
      </c>
    </row>
    <row r="3" spans="1:14" x14ac:dyDescent="0.25">
      <c r="A3">
        <v>2007</v>
      </c>
      <c r="B3">
        <f>21.1*25.58</f>
        <v>539.73800000000006</v>
      </c>
      <c r="C3">
        <f>4.1*25.58</f>
        <v>104.87799999999999</v>
      </c>
      <c r="D3">
        <f>16.6*25.58</f>
        <v>424.62799999999999</v>
      </c>
      <c r="E3">
        <f>3.6*25.58</f>
        <v>92.087999999999994</v>
      </c>
      <c r="F3">
        <f>2.5*25.58</f>
        <v>63.949999999999996</v>
      </c>
      <c r="G3">
        <f>10.4*25.58</f>
        <v>266.03199999999998</v>
      </c>
      <c r="H3">
        <v>4.7409999999999997</v>
      </c>
      <c r="I3">
        <f>5.27*25.58</f>
        <v>134.80659999999997</v>
      </c>
      <c r="J3">
        <f>-5.6*25.58</f>
        <v>-143.24799999999999</v>
      </c>
      <c r="K3">
        <f>-0.248*25.58</f>
        <v>-6.3438399999999993</v>
      </c>
      <c r="L3">
        <f>0.721*25.58</f>
        <v>18.443179999999998</v>
      </c>
      <c r="M3">
        <v>8.1</v>
      </c>
      <c r="N3">
        <v>112.04333333333331</v>
      </c>
    </row>
    <row r="4" spans="1:14" x14ac:dyDescent="0.25">
      <c r="A4">
        <v>2008</v>
      </c>
      <c r="B4">
        <f>33*24.86</f>
        <v>820.38</v>
      </c>
      <c r="C4">
        <f>4.7*24.86</f>
        <v>116.842</v>
      </c>
      <c r="D4">
        <f>20.2*24.86</f>
        <v>502.17199999999997</v>
      </c>
      <c r="E4">
        <f>4*24.86</f>
        <v>99.44</v>
      </c>
      <c r="F4">
        <f>2.1*24.86</f>
        <v>52.206000000000003</v>
      </c>
      <c r="G4">
        <f>14*24.86</f>
        <v>348.03999999999996</v>
      </c>
      <c r="H4">
        <v>4.7409999999999997</v>
      </c>
      <c r="I4">
        <f>5.5*24.86</f>
        <v>136.72999999999999</v>
      </c>
      <c r="J4">
        <f>-3.5*24.86</f>
        <v>-87.009999999999991</v>
      </c>
      <c r="K4">
        <f>-0.566*24.86</f>
        <v>-14.070759999999998</v>
      </c>
      <c r="L4">
        <f>2.075*24.86</f>
        <v>51.584500000000006</v>
      </c>
      <c r="M4">
        <v>5.4</v>
      </c>
      <c r="N4">
        <v>123.20250000000003</v>
      </c>
    </row>
    <row r="5" spans="1:14" x14ac:dyDescent="0.25">
      <c r="A5">
        <v>2009</v>
      </c>
      <c r="B5">
        <f>24*31.72</f>
        <v>761.28</v>
      </c>
      <c r="C5">
        <f>3*31.72</f>
        <v>95.16</v>
      </c>
      <c r="D5">
        <f>30*31.72</f>
        <v>951.59999999999991</v>
      </c>
      <c r="E5">
        <f>5.6*31.72</f>
        <v>177.63199999999998</v>
      </c>
      <c r="F5">
        <f>5.4*31.72</f>
        <v>171.28800000000001</v>
      </c>
      <c r="G5">
        <f>18.7*31.72</f>
        <v>593.16399999999999</v>
      </c>
      <c r="H5">
        <v>4.7409999999999997</v>
      </c>
      <c r="I5">
        <f>3.5*31.72</f>
        <v>111.02</v>
      </c>
      <c r="J5">
        <f>-4.88*31.72</f>
        <v>-154.7936</v>
      </c>
      <c r="K5">
        <f>0.185*31.72</f>
        <v>5.8681999999999999</v>
      </c>
      <c r="L5">
        <f>0.868*31.72</f>
        <v>27.532959999999999</v>
      </c>
      <c r="M5">
        <v>3.6</v>
      </c>
      <c r="N5">
        <v>111.90499999999997</v>
      </c>
    </row>
    <row r="6" spans="1:14" x14ac:dyDescent="0.25">
      <c r="A6">
        <v>2010</v>
      </c>
      <c r="B6">
        <f>33*30.37</f>
        <v>1002.21</v>
      </c>
      <c r="C6">
        <f>3.4*30.37</f>
        <v>103.258</v>
      </c>
      <c r="D6">
        <v>955</v>
      </c>
      <c r="E6">
        <v>152</v>
      </c>
      <c r="F6">
        <v>193</v>
      </c>
      <c r="G6">
        <v>609</v>
      </c>
      <c r="H6">
        <v>4.718</v>
      </c>
      <c r="I6">
        <f>5.4*30.37</f>
        <v>163.99800000000002</v>
      </c>
      <c r="J6">
        <f>-4.85*30.37</f>
        <v>-147.2945</v>
      </c>
      <c r="K6">
        <f>-0.3*30.37</f>
        <v>-9.1110000000000007</v>
      </c>
      <c r="L6">
        <f>1.146*30.37</f>
        <v>34.804020000000001</v>
      </c>
      <c r="M6">
        <v>3.6</v>
      </c>
      <c r="N6">
        <v>131.25916666666666</v>
      </c>
    </row>
    <row r="7" spans="1:14" x14ac:dyDescent="0.25">
      <c r="A7">
        <v>2011</v>
      </c>
      <c r="B7">
        <v>1029</v>
      </c>
      <c r="C7">
        <v>167</v>
      </c>
      <c r="D7">
        <v>1118</v>
      </c>
      <c r="E7">
        <v>150</v>
      </c>
      <c r="F7">
        <v>235</v>
      </c>
      <c r="G7">
        <v>732</v>
      </c>
      <c r="H7">
        <v>4.718</v>
      </c>
      <c r="I7">
        <v>180</v>
      </c>
      <c r="J7">
        <v>-142</v>
      </c>
      <c r="K7">
        <v>-45</v>
      </c>
      <c r="L7">
        <v>29</v>
      </c>
      <c r="M7">
        <v>4.4400000000000004</v>
      </c>
      <c r="N7">
        <v>135.34916666666666</v>
      </c>
    </row>
    <row r="8" spans="1:14" x14ac:dyDescent="0.25">
      <c r="A8">
        <v>2012</v>
      </c>
      <c r="B8">
        <v>1230</v>
      </c>
      <c r="C8">
        <v>184</v>
      </c>
      <c r="D8">
        <v>1300</v>
      </c>
      <c r="E8">
        <v>194</v>
      </c>
      <c r="F8">
        <v>230</v>
      </c>
      <c r="G8">
        <v>875</v>
      </c>
      <c r="H8">
        <v>4.718</v>
      </c>
      <c r="I8">
        <v>231</v>
      </c>
      <c r="J8">
        <v>-166</v>
      </c>
      <c r="K8">
        <v>-16</v>
      </c>
      <c r="L8">
        <v>76</v>
      </c>
      <c r="M8">
        <v>7.3</v>
      </c>
      <c r="N8">
        <v>148.0275</v>
      </c>
    </row>
    <row r="9" spans="1:14" x14ac:dyDescent="0.25">
      <c r="A9">
        <v>2013</v>
      </c>
      <c r="B9">
        <v>1267</v>
      </c>
      <c r="C9">
        <v>186</v>
      </c>
      <c r="D9">
        <v>1563</v>
      </c>
      <c r="E9">
        <v>207</v>
      </c>
      <c r="F9">
        <v>357</v>
      </c>
      <c r="G9">
        <v>998</v>
      </c>
      <c r="H9">
        <v>4.718</v>
      </c>
      <c r="I9">
        <v>276</v>
      </c>
      <c r="J9">
        <v>-255</v>
      </c>
      <c r="K9">
        <v>-13</v>
      </c>
      <c r="L9">
        <v>91</v>
      </c>
      <c r="M9">
        <v>9.3000000000000007</v>
      </c>
      <c r="N9">
        <v>134.74249999999998</v>
      </c>
    </row>
    <row r="10" spans="1:14" x14ac:dyDescent="0.25">
      <c r="A10">
        <v>2014</v>
      </c>
      <c r="B10">
        <v>1408</v>
      </c>
      <c r="C10">
        <v>126</v>
      </c>
      <c r="D10">
        <v>2097</v>
      </c>
      <c r="E10">
        <v>250</v>
      </c>
      <c r="F10">
        <v>717</v>
      </c>
      <c r="G10">
        <v>1129</v>
      </c>
      <c r="H10">
        <v>4.718</v>
      </c>
      <c r="I10">
        <v>283</v>
      </c>
      <c r="J10">
        <v>-364</v>
      </c>
      <c r="K10">
        <v>10</v>
      </c>
      <c r="L10">
        <v>53</v>
      </c>
      <c r="M10">
        <v>9.3800000000000008</v>
      </c>
      <c r="N10">
        <v>144.05500000000004</v>
      </c>
    </row>
    <row r="11" spans="1:14" x14ac:dyDescent="0.25">
      <c r="A11">
        <v>2015</v>
      </c>
      <c r="B11">
        <v>1467</v>
      </c>
      <c r="C11">
        <v>116</v>
      </c>
      <c r="D11">
        <v>2485</v>
      </c>
      <c r="E11">
        <v>349</v>
      </c>
      <c r="F11">
        <v>887</v>
      </c>
      <c r="G11">
        <v>1248</v>
      </c>
      <c r="H11">
        <v>4.718</v>
      </c>
      <c r="I11">
        <v>285</v>
      </c>
      <c r="J11">
        <v>-314</v>
      </c>
      <c r="K11">
        <v>82</v>
      </c>
      <c r="L11">
        <v>114</v>
      </c>
      <c r="M11">
        <v>6.47</v>
      </c>
      <c r="N11">
        <v>149.78333333333336</v>
      </c>
    </row>
    <row r="12" spans="1:14" x14ac:dyDescent="0.25">
      <c r="A12">
        <v>2016</v>
      </c>
      <c r="B12">
        <v>1545</v>
      </c>
      <c r="C12">
        <v>209</v>
      </c>
      <c r="D12">
        <v>2548</v>
      </c>
      <c r="E12">
        <v>289</v>
      </c>
      <c r="F12">
        <v>815</v>
      </c>
      <c r="G12">
        <v>1444</v>
      </c>
      <c r="H12">
        <v>4.718</v>
      </c>
      <c r="I12">
        <v>321</v>
      </c>
      <c r="J12">
        <v>-323</v>
      </c>
      <c r="K12">
        <v>-68</v>
      </c>
      <c r="L12">
        <v>33</v>
      </c>
      <c r="M12">
        <v>6.47</v>
      </c>
      <c r="N12">
        <v>169.01666666666668</v>
      </c>
    </row>
    <row r="13" spans="1:14" x14ac:dyDescent="0.25">
      <c r="A13">
        <v>2017</v>
      </c>
      <c r="B13">
        <v>1934</v>
      </c>
      <c r="C13">
        <v>269</v>
      </c>
      <c r="D13">
        <v>2930</v>
      </c>
      <c r="E13">
        <v>479</v>
      </c>
      <c r="F13">
        <v>791</v>
      </c>
      <c r="G13">
        <v>1659</v>
      </c>
      <c r="H13">
        <v>4.718</v>
      </c>
      <c r="I13">
        <v>421</v>
      </c>
      <c r="J13">
        <v>-312</v>
      </c>
      <c r="K13">
        <v>-50</v>
      </c>
      <c r="L13">
        <v>90</v>
      </c>
      <c r="M13">
        <v>10.7</v>
      </c>
      <c r="N13">
        <v>218.42916666666667</v>
      </c>
    </row>
    <row r="14" spans="1:14" x14ac:dyDescent="0.25">
      <c r="A14">
        <v>2018</v>
      </c>
      <c r="B14">
        <v>2489</v>
      </c>
      <c r="C14">
        <v>400</v>
      </c>
      <c r="D14">
        <v>3520</v>
      </c>
      <c r="E14">
        <v>562</v>
      </c>
      <c r="F14">
        <v>966</v>
      </c>
      <c r="G14">
        <v>1991</v>
      </c>
      <c r="H14">
        <v>4.718</v>
      </c>
      <c r="I14">
        <v>537</v>
      </c>
      <c r="J14">
        <v>-335</v>
      </c>
      <c r="K14">
        <v>-56</v>
      </c>
      <c r="L14">
        <v>247</v>
      </c>
      <c r="M14">
        <v>15</v>
      </c>
      <c r="N14">
        <v>328.54583333333329</v>
      </c>
    </row>
    <row r="15" spans="1:14" x14ac:dyDescent="0.25">
      <c r="A15">
        <v>2019</v>
      </c>
      <c r="B15">
        <v>2485</v>
      </c>
      <c r="C15">
        <v>422</v>
      </c>
      <c r="D15">
        <v>3825</v>
      </c>
      <c r="E15">
        <v>510</v>
      </c>
      <c r="F15">
        <v>1101</v>
      </c>
      <c r="G15">
        <v>2213</v>
      </c>
      <c r="H15">
        <v>4.718</v>
      </c>
      <c r="I15">
        <v>609</v>
      </c>
      <c r="J15">
        <v>-363</v>
      </c>
      <c r="K15">
        <v>-276</v>
      </c>
      <c r="L15">
        <v>202</v>
      </c>
      <c r="M15">
        <v>30</v>
      </c>
      <c r="N15">
        <v>387.02083333333331</v>
      </c>
    </row>
    <row r="16" spans="1:14" x14ac:dyDescent="0.25">
      <c r="A16">
        <v>2020</v>
      </c>
      <c r="B16">
        <v>2000</v>
      </c>
      <c r="C16">
        <v>120</v>
      </c>
      <c r="D16">
        <v>4259</v>
      </c>
      <c r="E16">
        <v>786</v>
      </c>
      <c r="F16">
        <v>1210</v>
      </c>
      <c r="G16">
        <v>2262</v>
      </c>
      <c r="H16">
        <v>4.718</v>
      </c>
      <c r="I16">
        <v>517</v>
      </c>
      <c r="J16">
        <v>-374</v>
      </c>
      <c r="K16">
        <v>-123</v>
      </c>
      <c r="L16">
        <v>237</v>
      </c>
      <c r="M16">
        <v>37.96</v>
      </c>
      <c r="N16">
        <v>332.34166666666664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Jagello</dc:creator>
  <cp:lastModifiedBy>Andy</cp:lastModifiedBy>
  <dcterms:created xsi:type="dcterms:W3CDTF">2015-06-05T18:19:34Z</dcterms:created>
  <dcterms:modified xsi:type="dcterms:W3CDTF">2021-07-15T01:08:15Z</dcterms:modified>
</cp:coreProperties>
</file>