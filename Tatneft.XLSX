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J:\Video\Татнефть\"/>
    </mc:Choice>
  </mc:AlternateContent>
  <xr:revisionPtr revIDLastSave="0" documentId="13_ncr:1_{7FAAAF23-4524-409D-B350-0CA25B56E41A}" xr6:coauthVersionLast="46" xr6:coauthVersionMax="46" xr10:uidLastSave="{00000000-0000-0000-0000-000000000000}"/>
  <bookViews>
    <workbookView xWindow="780" yWindow="0" windowWidth="15645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</calcChain>
</file>

<file path=xl/sharedStrings.xml><?xml version="1.0" encoding="utf-8"?>
<sst xmlns="http://schemas.openxmlformats.org/spreadsheetml/2006/main" count="13" uniqueCount="13">
  <si>
    <t>Year</t>
  </si>
  <si>
    <t>Revenue</t>
  </si>
  <si>
    <t>Assets</t>
  </si>
  <si>
    <t>Debt</t>
  </si>
  <si>
    <t>Equity</t>
  </si>
  <si>
    <t>Costs</t>
  </si>
  <si>
    <t>Earnings</t>
  </si>
  <si>
    <t>OA</t>
  </si>
  <si>
    <t>IA</t>
  </si>
  <si>
    <t>FA</t>
  </si>
  <si>
    <t>Money</t>
  </si>
  <si>
    <t>Dividend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</si>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</sst>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M1" sqref="M1"/>
    </sheetView>
  </sheetViews>
  <sheetFormatPr defaultRowHeight="15" x14ac:dyDescent="0.25"/>
  <cols>
    <col min="2" max="2" width="12.570312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25">
      <c r="A2">
        <v>2005</v>
      </c>
      <c r="B2">
        <v>282</v>
      </c>
      <c r="C2">
        <v>79</v>
      </c>
      <c r="D2">
        <v>198</v>
      </c>
      <c r="E2">
        <v>300</v>
      </c>
      <c r="F2">
        <v>258</v>
      </c>
      <c r="G2">
        <v>28</v>
      </c>
      <c r="H2">
        <v>34</v>
      </c>
      <c r="I2">
        <v>-21</v>
      </c>
      <c r="J2">
        <v>-12</v>
      </c>
      <c r="K2">
        <v>18</v>
      </c>
      <c r="L2">
        <v>0</v>
      </c>
      <c r="M2">
        <v>66.044166666666655</v>
      </c>
    </row>
    <row r="3" spans="1:13" x14ac:dyDescent="0.25">
      <c r="A3">
        <v>2006</v>
      </c>
      <c r="B3">
        <v>319</v>
      </c>
      <c r="C3">
        <v>84</v>
      </c>
      <c r="D3">
        <v>231</v>
      </c>
      <c r="E3">
        <v>318</v>
      </c>
      <c r="F3">
        <v>279</v>
      </c>
      <c r="G3">
        <v>29</v>
      </c>
      <c r="H3">
        <v>32</v>
      </c>
      <c r="I3">
        <v>-34</v>
      </c>
      <c r="J3">
        <v>-8</v>
      </c>
      <c r="K3">
        <v>8</v>
      </c>
      <c r="L3">
        <v>0</v>
      </c>
      <c r="M3">
        <v>131.04083333333332</v>
      </c>
    </row>
    <row r="4" spans="1:13" x14ac:dyDescent="0.25">
      <c r="A4">
        <v>2007</v>
      </c>
      <c r="B4">
        <v>370</v>
      </c>
      <c r="C4">
        <v>101</v>
      </c>
      <c r="D4">
        <v>268</v>
      </c>
      <c r="E4">
        <v>356</v>
      </c>
      <c r="F4">
        <v>299</v>
      </c>
      <c r="G4">
        <v>44</v>
      </c>
      <c r="H4">
        <v>48</v>
      </c>
      <c r="I4">
        <v>-39</v>
      </c>
      <c r="J4">
        <v>-2</v>
      </c>
      <c r="K4">
        <v>13</v>
      </c>
      <c r="L4">
        <v>0</v>
      </c>
      <c r="M4">
        <v>129.13916666666665</v>
      </c>
    </row>
    <row r="5" spans="1:13" x14ac:dyDescent="0.25">
      <c r="A5">
        <v>2008</v>
      </c>
      <c r="B5">
        <v>392</v>
      </c>
      <c r="C5">
        <v>128</v>
      </c>
      <c r="D5">
        <v>264</v>
      </c>
      <c r="E5">
        <v>444</v>
      </c>
      <c r="F5">
        <v>410</v>
      </c>
      <c r="G5">
        <v>8</v>
      </c>
      <c r="H5">
        <v>47</v>
      </c>
      <c r="I5">
        <v>-61</v>
      </c>
      <c r="J5">
        <v>14</v>
      </c>
      <c r="K5">
        <v>13</v>
      </c>
      <c r="L5">
        <v>0</v>
      </c>
      <c r="M5">
        <v>120.04083333333334</v>
      </c>
    </row>
    <row r="6" spans="1:13" x14ac:dyDescent="0.25">
      <c r="A6">
        <v>2009</v>
      </c>
      <c r="B6">
        <v>495</v>
      </c>
      <c r="C6">
        <v>182</v>
      </c>
      <c r="D6">
        <v>313</v>
      </c>
      <c r="E6">
        <v>380</v>
      </c>
      <c r="F6">
        <v>311</v>
      </c>
      <c r="G6">
        <v>56</v>
      </c>
      <c r="H6">
        <v>66</v>
      </c>
      <c r="I6">
        <v>-91</v>
      </c>
      <c r="J6">
        <v>24</v>
      </c>
      <c r="K6">
        <v>12</v>
      </c>
      <c r="L6">
        <v>0</v>
      </c>
      <c r="M6">
        <v>113.68833333333335</v>
      </c>
    </row>
    <row r="7" spans="1:13" x14ac:dyDescent="0.25">
      <c r="A7">
        <v>2010</v>
      </c>
      <c r="B7">
        <v>567</v>
      </c>
      <c r="C7">
        <v>216</v>
      </c>
      <c r="D7">
        <v>350</v>
      </c>
      <c r="E7">
        <v>468</v>
      </c>
      <c r="F7">
        <v>403</v>
      </c>
      <c r="G7">
        <v>50</v>
      </c>
      <c r="H7">
        <v>55</v>
      </c>
      <c r="I7">
        <v>-65</v>
      </c>
      <c r="J7">
        <v>4</v>
      </c>
      <c r="K7">
        <v>8</v>
      </c>
      <c r="L7">
        <v>0</v>
      </c>
      <c r="M7">
        <v>144.73833333333332</v>
      </c>
    </row>
    <row r="8" spans="1:13" x14ac:dyDescent="0.25">
      <c r="A8">
        <v>2011</v>
      </c>
      <c r="B8">
        <v>607</v>
      </c>
      <c r="C8">
        <v>221</v>
      </c>
      <c r="D8">
        <v>385</v>
      </c>
      <c r="E8">
        <v>417</v>
      </c>
      <c r="F8">
        <v>323</v>
      </c>
      <c r="G8">
        <v>64</v>
      </c>
      <c r="H8">
        <v>77</v>
      </c>
      <c r="I8">
        <v>-44</v>
      </c>
      <c r="J8">
        <v>-24</v>
      </c>
      <c r="K8">
        <v>16</v>
      </c>
      <c r="L8">
        <v>0</v>
      </c>
      <c r="M8">
        <v>165.86250000000001</v>
      </c>
    </row>
    <row r="9" spans="1:13" x14ac:dyDescent="0.25">
      <c r="A9">
        <v>2012</v>
      </c>
      <c r="B9">
        <v>630</v>
      </c>
      <c r="C9">
        <v>184</v>
      </c>
      <c r="D9">
        <v>446</v>
      </c>
      <c r="E9">
        <v>444</v>
      </c>
      <c r="F9">
        <v>342</v>
      </c>
      <c r="G9">
        <v>78</v>
      </c>
      <c r="H9">
        <v>90</v>
      </c>
      <c r="I9">
        <v>-48</v>
      </c>
      <c r="J9">
        <v>-45</v>
      </c>
      <c r="K9">
        <v>13</v>
      </c>
      <c r="L9">
        <v>0</v>
      </c>
      <c r="M9">
        <v>191.67499999999998</v>
      </c>
    </row>
    <row r="10" spans="1:13" x14ac:dyDescent="0.25">
      <c r="A10">
        <v>2013</v>
      </c>
      <c r="B10">
        <v>674</v>
      </c>
      <c r="C10">
        <v>170</v>
      </c>
      <c r="D10">
        <v>503</v>
      </c>
      <c r="E10">
        <v>454</v>
      </c>
      <c r="F10">
        <v>350</v>
      </c>
      <c r="G10">
        <v>78</v>
      </c>
      <c r="H10">
        <v>118</v>
      </c>
      <c r="I10">
        <v>-57</v>
      </c>
      <c r="J10">
        <v>-44</v>
      </c>
      <c r="K10">
        <v>29</v>
      </c>
      <c r="L10">
        <v>8.23</v>
      </c>
      <c r="M10">
        <v>205.11666666666667</v>
      </c>
    </row>
    <row r="11" spans="1:13" x14ac:dyDescent="0.25">
      <c r="A11">
        <v>2014</v>
      </c>
      <c r="B11">
        <v>732</v>
      </c>
      <c r="C11">
        <v>150</v>
      </c>
      <c r="D11">
        <v>582</v>
      </c>
      <c r="E11">
        <v>476</v>
      </c>
      <c r="F11">
        <v>369</v>
      </c>
      <c r="G11">
        <v>97</v>
      </c>
      <c r="H11">
        <v>136</v>
      </c>
      <c r="I11">
        <v>-71</v>
      </c>
      <c r="J11">
        <v>-54</v>
      </c>
      <c r="K11">
        <v>41</v>
      </c>
      <c r="L11">
        <v>10.58</v>
      </c>
      <c r="M11">
        <v>220.32500000000005</v>
      </c>
    </row>
    <row r="12" spans="1:13" x14ac:dyDescent="0.25">
      <c r="A12">
        <v>2015</v>
      </c>
      <c r="B12">
        <v>798</v>
      </c>
      <c r="C12">
        <v>141</v>
      </c>
      <c r="D12">
        <v>657</v>
      </c>
      <c r="E12">
        <v>552</v>
      </c>
      <c r="F12">
        <v>422</v>
      </c>
      <c r="G12">
        <v>105</v>
      </c>
      <c r="H12">
        <v>140</v>
      </c>
      <c r="I12">
        <v>-119</v>
      </c>
      <c r="J12">
        <v>-38</v>
      </c>
      <c r="K12">
        <v>24</v>
      </c>
      <c r="L12">
        <v>10.96</v>
      </c>
      <c r="M12">
        <v>303.00416666666672</v>
      </c>
    </row>
    <row r="13" spans="1:13" x14ac:dyDescent="0.25">
      <c r="A13">
        <v>2016</v>
      </c>
      <c r="B13">
        <v>1094</v>
      </c>
      <c r="C13">
        <v>385</v>
      </c>
      <c r="D13">
        <v>708</v>
      </c>
      <c r="E13">
        <v>580</v>
      </c>
      <c r="F13">
        <v>437</v>
      </c>
      <c r="G13">
        <v>106</v>
      </c>
      <c r="H13">
        <v>141</v>
      </c>
      <c r="I13">
        <v>-47</v>
      </c>
      <c r="J13">
        <v>-39</v>
      </c>
      <c r="K13">
        <v>77</v>
      </c>
      <c r="L13">
        <v>22.81</v>
      </c>
      <c r="M13">
        <v>343.6541666666667</v>
      </c>
    </row>
    <row r="14" spans="1:13" x14ac:dyDescent="0.25">
      <c r="A14">
        <v>2017</v>
      </c>
      <c r="B14">
        <v>1107</v>
      </c>
      <c r="C14">
        <v>388</v>
      </c>
      <c r="D14">
        <v>718</v>
      </c>
      <c r="E14">
        <v>681</v>
      </c>
      <c r="F14">
        <v>520</v>
      </c>
      <c r="G14">
        <v>123</v>
      </c>
      <c r="H14">
        <v>190</v>
      </c>
      <c r="I14">
        <v>-112</v>
      </c>
      <c r="J14">
        <v>-111</v>
      </c>
      <c r="K14">
        <v>42</v>
      </c>
      <c r="L14">
        <f>27.78+12.16</f>
        <v>39.94</v>
      </c>
      <c r="M14">
        <v>399.4375</v>
      </c>
    </row>
    <row r="15" spans="1:13" x14ac:dyDescent="0.25">
      <c r="A15">
        <v>2018</v>
      </c>
      <c r="B15">
        <v>1201</v>
      </c>
      <c r="C15">
        <v>424</v>
      </c>
      <c r="D15">
        <v>776</v>
      </c>
      <c r="E15">
        <v>910</v>
      </c>
      <c r="F15">
        <v>645</v>
      </c>
      <c r="G15">
        <v>211</v>
      </c>
      <c r="H15">
        <v>245</v>
      </c>
      <c r="I15">
        <v>-91</v>
      </c>
      <c r="J15">
        <v>-132</v>
      </c>
      <c r="K15">
        <v>65</v>
      </c>
      <c r="L15">
        <v>84.91</v>
      </c>
      <c r="M15">
        <v>696.59999999999991</v>
      </c>
    </row>
    <row r="16" spans="1:13" x14ac:dyDescent="0.25">
      <c r="A16">
        <v>2019</v>
      </c>
      <c r="B16">
        <v>1240</v>
      </c>
      <c r="C16">
        <v>488</v>
      </c>
      <c r="D16">
        <v>752</v>
      </c>
      <c r="E16">
        <v>932</v>
      </c>
      <c r="F16">
        <v>678</v>
      </c>
      <c r="G16">
        <v>192</v>
      </c>
      <c r="H16">
        <v>248</v>
      </c>
      <c r="I16">
        <v>-103</v>
      </c>
      <c r="J16">
        <v>-184</v>
      </c>
      <c r="K16">
        <v>25</v>
      </c>
      <c r="L16">
        <v>64.47</v>
      </c>
      <c r="M16">
        <v>753.4083333333333</v>
      </c>
    </row>
    <row r="17" spans="1:13" x14ac:dyDescent="0.25">
      <c r="A17">
        <v>2020</v>
      </c>
      <c r="B17">
        <v>1263</v>
      </c>
      <c r="C17">
        <v>431</v>
      </c>
      <c r="D17">
        <v>831</v>
      </c>
      <c r="E17">
        <v>720</v>
      </c>
      <c r="F17">
        <v>578</v>
      </c>
      <c r="G17">
        <v>102</v>
      </c>
      <c r="H17">
        <v>200</v>
      </c>
      <c r="I17">
        <v>-105</v>
      </c>
      <c r="J17">
        <v>-81</v>
      </c>
      <c r="K17">
        <v>40</v>
      </c>
      <c r="L17">
        <v>58.03</v>
      </c>
      <c r="M17">
        <v>550.68333333333339</v>
      </c>
    </row>
  </sheetData>
  <sortState xmlns:xlrd2="http://schemas.microsoft.com/office/spreadsheetml/2017/richdata2" ref="A2:L17">
    <sortCondition ref="A1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2021-04-28T14:38:19Z</dcterms:modified>
</cp:coreProperties>
</file>